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<sst xmlns="http://schemas.openxmlformats.org/spreadsheetml/2006/main" count="102" uniqueCount="85">
  <si>
    <t>where</t>
  </si>
  <si>
    <t>拍摄日期</t>
  </si>
  <si>
    <t>拍摄时间</t>
  </si>
  <si>
    <t>拍摄路段</t>
  </si>
  <si>
    <t>拍摄范围</t>
  </si>
  <si>
    <t>时长(min)</t>
  </si>
  <si>
    <t>客车/货车</t>
  </si>
  <si>
    <t>备注</t>
  </si>
  <si>
    <t>lane_coeffs</t>
  </si>
  <si>
    <t>1-1</t>
  </si>
  <si>
    <t>16:26</t>
  </si>
  <si>
    <t>路基基本路段</t>
  </si>
  <si>
    <t>[-2.8697043709983996e-13, 4.5383524891190506e-10, -2.4913474893073317e-07, 5.594087860276569e-05, 0.002852015341176784, 10.131663115144596],
    [-2.8697043709983996e-13, 4.5383524891190506e-10, -2.4913474893073317e-07, 5.594087860276569e-05, 0.002852015341176784, 13.98166],
    [-2.8697043709983996e-13, 4.5383524891190506e-10, -2.4913474893073317e-07, 5.594087860276569e-05, 0.002852015341176784, 17.73166],
    [-2.8697043709983996e-13, 4.5383524891190506e-10, -2.4913474893073317e-07, 5.594087860276569e-05, 0.002852015341176784, 21.58166],
    [-4.789827429287594e-13, 5.017566267511211e-10, -1.7713573746720953e-07, 2.7532549979390646e-05, 0.006586834111928092, 25.52697],
    [-4.789827429287594e-13, 5.017566267511211e-10, -1.7713573746720953e-07, 2.7532549979390646e-05, 0.006586834111928092, 29.37697],
    [-4.789827429287594e-13, 5.017566267511211e-10, -1.7713573746720953e-07, 2.7532549979390646e-05, 0.006586834111928092, 33.12697],
    [-4.789827429287594e-13, 5.017566267511211e-10, -1.7713573746720953e-07, 2.7532549979390646e-05, 0.006586834111928092, 36.97697525604672]</t>
  </si>
  <si>
    <t>1-2</t>
  </si>
  <si>
    <t>16:53</t>
  </si>
  <si>
    <t>[1.8844489886462196e-13, -1.0384994378972738e-10, -9.880871231949187e-09, 1.1783340817251928e-05, 0.010783233707546627, 8.496840530238801],
    [1.8844489886462196e-13, -1.0384994378972738e-10, -9.880871231949187e-09, 1.1783340817251928e-05, 0.010783233707546627, 12.3468405],
    [1.8844489886462196e-13, -1.0384994378972738e-10, -9.880871231949187e-09, 1.1783340817251928e-05, 0.010783233707546627, 16.0968405],
    [1.8844489886462196e-13, -1.0384994378972738e-10, -9.880871231949187e-09, 1.1783340817251928e-05, 0.010783233707546627, 19.9468405],
    [-1.0731962291125249e-12, 1.0624119286628631e-09, -3.562947358995208e-07, 4.868882263223829e-05, 0.010659902636325108, 24.0622055],
    [-1.0731962291125249e-12, 1.0624119286628631e-09, -3.562947358995208e-07, 4.868882263223829e-05, 0.010659902636325108, 27.9122055],
    [-1.0731962291125249e-12, 1.0624119286628631e-09, -3.562947358995208e-07, 4.868882263223829e-05, 0.010659902636325108, 31.6622055],
    [-1.0731962291125249e-12, 1.0624119286628631e-09, -3.562947358995208e-07, 4.868882263223829e-05, 0.010659902636325108, 35.51220559230983]</t>
  </si>
  <si>
    <t>2-1</t>
  </si>
  <si>
    <t>17:21</t>
  </si>
  <si>
    <t>车道路面潮湿</t>
  </si>
  <si>
    <t>[-4.631530934200868e-13, 5.82370458979084e-10, -1.7227210297217264e-07, 2.3795267539140217e-05, -7.128146242568013e-05, 12.974002935488187],
    [-4.631530934200868e-13, 5.82370458979084e-10, -1.7227210297217264e-07, 2.3795267539140217e-05, -7.128146242568013e-05, 16.8240029],
    [-4.631530934200868e-13, 5.82370458979084e-10, -1.7227210297217264e-07, 2.3795267539140217e-05, -7.128146242568013e-05, 20.5740029],
    [-4.631530934200868e-13, 5.82370458979084e-10, -1.7227210297217264e-07, 2.3795267539140217e-05, -7.128146242568013e-05, 24.4240029],
    [-1.0217173078803597e-12, 1.0723751048295534e-09, -3.0316247361528203e-07, 3.5508232663581875e-05, 0.0007195755481525477, 28.4580299],
    [-1.0217173078803597e-12, 1.0723751048295534e-09, -3.0316247361528203e-07, 3.5508232663581875e-05, 0.0007195755481525477, 32.3080299],
    [-1.0217173078803597e-12, 1.0723751048295534e-09, -3.0316247361528203e-07, 3.5508232663581875e-05, 0.0007195755481525477, 36.0580299],
    [-1.0217173078803597e-12, 1.0723751048295534e-09, -3.0316247361528203e-07, 3.5508232663581875e-05, 0.0007195755481525477, 39.90802998170596]</t>
  </si>
  <si>
    <t>2-2</t>
  </si>
  <si>
    <t>17:53</t>
  </si>
  <si>
    <t>[2.2830088164242894e-13, -7.49002397314112e-11, 3.986457175238073e-08, -2.4394641203644312e-06, -0.005677533224485837, 13.71629473829261],
    [2.2830088164242894e-13, -7.49002397314112e-11, 3.986457175238073e-08, -2.4394641203644312e-06, -0.005677533224485837, 17.5662947],
    [2.2830088164242894e-13, -7.49002397314112e-11, 3.986457175238073e-08, -2.4394641203644312e-06, -0.005677533224485837, 21.3162947],
    [2.2830088164242894e-13, -7.49002397314112e-11, 3.986457175238073e-08, -2.4394641203644312e-06, -0.005677533224485837, 25.1662947],
    [3.505408558591785e-13, -1.4110744892613108e-10, 6.784008304728691e-08, -1.0948985237687198e-05, -0.0028146665003869237, 28.949328],
    [3.505408558591785e-13, -1.4110744892613108e-10, 6.784008304728691e-08, -1.0948985237687198e-05, -0.0028146665003869237, 32.799328],
    [3.505408558591785e-13, -1.4110744892613108e-10, 6.784008304728691e-08, -1.0948985237687198e-05, -0.0028146665003869237, 36.549328],
    [3.505408558591785e-13, -1.4110744892613108e-10, 6.784008304728691e-08, -1.0948985237687198e-05, -0.0028146665003869237, 40.399328883486405]</t>
  </si>
  <si>
    <t>2-3</t>
  </si>
  <si>
    <t>19:37</t>
  </si>
  <si>
    <t>10分钟后进入夜间</t>
  </si>
  <si>
    <t>[2.3132734371226303e-13, -6.851962449490811e-11, 3.763149849940043e-08, -3.979005244920185e-06, -0.008652138640351456, 11.94278756725742],
    [2.3132734371226303e-13, -6.851962449490811e-11, 3.763149849940043e-08, -3.979005244920185e-06, -0.008652138640351456, 15.792787],
    [2.3132734371226303e-13, -6.851962449490811e-11, 3.763149849940043e-08, -3.979005244920185e-06, -0.008652138640351456, 19.502787],
    [2.3132734371226303e-13, -6.851962449490811e-11, 3.763149849940043e-08, -3.979005244920185e-06, -0.008652138640351456, 23.352787],
    [-6.155657100736082e-13, 7.092046800695812e-10, -1.9671247749935433e-07, 2.2829349550298284e-05, -0.007739645285826006, 26.86889914],
    [-6.155657100736082e-13, 7.092046800695812e-10, -1.9671247749935433e-07, 2.2829349550298284e-05, -0.007739645285826006, 30.72889914],
    [-6.155657100736082e-13, 7.092046800695812e-10, -1.9671247749935433e-07, 2.2829349550298284e-05, -0.007739645285826006, 34.47889914],
    [-6.155657100736082e-13, 7.092046800695812e-10, -1.9671247749935433e-07, 2.2829349550298284e-05, -0.007739645285826006, 38.28889914379014]</t>
  </si>
  <si>
    <t>2-4</t>
  </si>
  <si>
    <t>19:03</t>
  </si>
  <si>
    <t>[2.0344121040723594e-15, 1.0195302078817242e-10, 5.289190619732282e-09, -3.3148013079841987e-06, -0.007138685889089949, 12.184087182801745],
    [2.0344121040723594e-15, 1.0195302078817242e-10, 5.289190619732282e-09, -3.3148013079841987e-06, -0.007138685889089949, 16.0340871],
    [2.0344121040723594e-15, 1.0195302078817242e-10, 5.289190619732282e-09, -3.3148013079841987e-06, -0.007138685889089949, 19.7840871],
    [2.0344121040723594e-15, 1.0195302078817242e-10, 5.289190619732282e-09, -3.3148013079841987e-06, -0.007138685889089949, 23.6340871],
    [-8.012019412785358e-13, 8.780860200646608e-10, -2.480897011181892e-07, 3.0596573775005125e-05, -0.006713972831689682, 27.28914516],
    [-8.012019412785358e-13, 8.780860200646608e-10, -2.480897011181892e-07, 3.0596573775005125e-05, -0.006713972831689682, 31.13914516],
    [-8.012019412785358e-13, 8.780860200646608e-10, -2.480897011181892e-07, 3.0596573775005125e-05, -0.006713972831689682, 34.88914516],
    [-8.012019412785358e-13, 8.780860200646608e-10, -2.480897011181892e-07, 3.0596573775005125e-05, -0.006713972831689682, 38.739145168423704]</t>
  </si>
  <si>
    <t>3-1</t>
  </si>
  <si>
    <t>11:17</t>
  </si>
  <si>
    <t>整体式桥梁基本路段</t>
  </si>
  <si>
    <t>lane4全程占道养护施工</t>
  </si>
  <si>
    <t>[3.2250984795486654e-13, -4.0667313760190686e-10, 1.9472276517790335e-07, -4.3709974192957035e-05, 0.007697235242039364, 10.128533684720257],
    [3.2250984795486654e-13, -4.0667313760190686e-10, 1.9472276517790335e-07, -4.3709974192957035e-05, 0.007697235242039364, 13.9785336],
    [3.2250984795486654e-13, -4.0667313760190686e-10, 1.9472276517790335e-07, -4.3709974192957035e-05, 0.007697235242039364, 17.7285336],
    [3.2250984795486654e-13, -4.0667313760190686e-10, 1.9472276517790335e-07, -4.3709974192957035e-05, 0.007697235242039364, 21.5785336],
    [4.0672093018045197e-13, -4.5960364003206444e-10, 1.9880900541404605e-07, -3.705516589638262e-05, 0.009353975451440663, 25.224335],
    [4.0672093018045197e-13, -4.5960364003206444e-10, 1.9880900541404605e-07, -3.705516589638262e-05, 0.009353975451440663, 29.074335],
    [4.0672093018045197e-13, -4.5960364003206444e-10, 1.9880900541404605e-07, -3.705516589638262e-05, 0.009353975451440663, 32.824335],
    [4.0672093018045197e-13, -4.5960364003206444e-10, 1.9880900541404605e-07, -3.705516589638262e-05, 0.009353975451440663, 36.67433549046906]</t>
  </si>
  <si>
    <t>3-2</t>
  </si>
  <si>
    <t>12:48</t>
  </si>
  <si>
    <t>[1.2265400107528834e-12, -1.3414540464135508e-09, 5.429426266529992e-07, -0.00010067056566900465, -0.0051799751483795325, 12.972743016815265],
    [1.2265400107528834e-12, -1.3414540464135508e-09, 5.429426266529992e-07, -0.00010067056566900465, -0.0051799751483795325, 16.822743016815267],
    [-1.1374964295537685e-12, 4.373037068026086e-10, 2.1269931352754397e-07, -0.00011661561717722574,0.0020870229216178207, 20.28062795877894],
    [-1.1374964295537685e-12, 4.373037068026086e-10, 2.1269931352754397e-07, -0.00011661561717722574,0.0020870229216178207, 24.13062795877894],
    [1.6843485452870714e-12, -1.8505043766372588e-09, 7.538905145459475e-07, -0.00013908597864014033,-0.00072764056219517, 28.090996171916462],
    [1.6843485452870714e-12, -1.8505043766372588e-09, 7.538905145459475e-07, -0.00013908597864014033,-0.00072764056219517, 31.940996171916463],
    [3.260091742723246e-13, -4.2576499127337816e-10, 2.081099709808642e-07, -4.378666176727832e-05,-0.007348332418734445, 35.664377181581614],
    [3.260091742723246e-13, -4.2576499127337816e-10, 2.081099709808642e-07, -4.378666176727832e-05, -0.007348332418734445, 39.514377181581615]</t>
  </si>
  <si>
    <t>3-3</t>
  </si>
  <si>
    <t>14:38</t>
  </si>
  <si>
    <t>[7.120251763535828e-13, -8.483539430755503e-10, 3.7550196832221116e-07, -7.58587131818955e-05,-0.0009042444177837483, 11.963073014391352],
    [7.120251763535828e-13, -8.483539430755503e-10, 3.7550196832221116e-07, -7.58587131818955e-05,-0.0009042444177837483, 15.813073014391351],
    [2.4382818864357912e-12, -2.665315843091875e-09, 1.0783239364369887e-06, -0.0002025808174843957, 0.011102664360734423, 19.32520867146897],
    [2.4382818864357912e-12, -2.665315843091875e-09, 1.0783239364369887e-06, -0.0002025808174843957, 0.011102664360734423, 23.175208671468972],
    [-1.1369371430175208e-12,1.1980026785561688e-09,-4.3636286089179924e-07,6.0339650746840324e-05,-0.007654904572872022, 27.3070096052],
    [6.244974169014263e-13, -6.845529696195177e-10, 2.867429823009713e-07, -5.448313414828518e-05, -0.0004131253791510685, 30.8270096052],
    [6.244974169014263e-13, -6.845529696195177e-10, 2.867429823009713e-07, -5.448313414828518e-05, -0.0004131253791510685, 34.5770096052],
    [6.244974169014263e-13, -6.845529696195177e-10, 2.867429823009713e-07, -5.448313414828518e-05, -0.0004131253791510685, 38.42700960529091]</t>
  </si>
  <si>
    <t>3-4</t>
  </si>
  <si>
    <t>18:23</t>
  </si>
  <si>
    <t>[6.288409194588022e-13, -7.269468515782963e-10, 3.203811118458272e-07, -6.716886602781324e-05, -0.006651377764250777, 13.737792189331225],
    [6.288409194588022e-13, -7.269468515782963e-10, 3.203811118458272e-07, -6.716886602781324e-05,-0.006651377764250777, 17.587792189331225],
    [9.362933948714398e-13, -1.7022648305476975e-09, 9.331138331012507e-07, -0.00019457539396690207,0.0010699692672052142, 21.40552818109225],
    [9.362933948714398e-13, -1.7022648305476975e-09, 9.331138331012507e-07, -0.00019457539396690207,0.0010699692672052142, 25.255528181092252],
    [1.327416627231845e-13, -2.1242019333802095e-10, 1.2943996979299804e-07, -3.2805561407194206e-05,-0.007225955730798546, 28.76374782],
    [1.327416627231845e-13, -2.1242019333802095e-10, 1.2943996979299804e-07, -3.2805561407194206e-05,-0.007225955730798546, 32.61374782],
    [1.327416627231845e-13, -2.1242019333802095e-10, 1.2943996979299804e-07, -3.2805561407194206e-05,-0.007225955730798546, 36.36374782964782],
    [1.327416627231845e-13, -2.1242019333802095e-10, 1.2943996979299804e-07, -3.2805561407194206e-05,-0.007225955730798546, 40.21374782964782]</t>
  </si>
  <si>
    <t>4-1</t>
  </si>
  <si>
    <t>11:53</t>
  </si>
  <si>
    <t>lane4全程占道养护</t>
  </si>
  <si>
    <t>[2.4242218194313175e-13,-2.652292348868102e-10,9.810751160712892e-09,2.4771338823693346e-05,0.0012005724143803948,11.072246367236069],
[2.4242218194313175e-13,-2.652292348868102e-10,9.810751160712892e-09,2.4771338823693346e-05,0.0012005724143803948,14.922246367236069],
[1.0180836351314926e-13,-4.91773502076318e-11,-9.165933051987913e-08,4.253758467336615e-05,0.00010170537015289804,18.66221812446906],
[1.0180836351314926e-13,-4.91773502076318e-11,-9.165933051987913e-08,4.253758467336615e-05,0.00010170537015289804,22.51221812446906],
[1.983565075002214e-12,-1.888417498788105e-09,5.214282142611599e-07,-3.555001279677858e-05,0.00259033587634319,26.83509868125946],
[1.983565075002214e-12,-1.888417498788105e-09,5.214282142611599e-07,-3.555001279677858e-05,0.00259033587634319,30.68509868125946],
[-1.2940261204903857e-13,2.0832990475994992e-10,-2.046404974546407e-07,6.720184135189074e-05,-0.0026712744153873564,34.48435338995613],
[-1.2940261204903857e-13,2.0832990475994992e-10,-2.046404974546407e-07,6.720184135189074e-05,-0.0026712744153873564,38.33435338995613]</t>
  </si>
  <si>
    <t>4-2</t>
  </si>
  <si>
    <t>12:20</t>
  </si>
  <si>
    <t>lane4于视频7:53至视频结束回收占道锥桶</t>
  </si>
  <si>
    <t>[4.979283578272387e-13,-5.402097271240901e-10,1.1401950789389715e-07,8.651589623471483e-06,0.002602810646949378,10.767564158937063],
[4.979283578272387e-13,-5.402097271240901e-10,1.1401950789389715e-07,8.651589623471483e-06,0.002602810646949378,14.617564158937062],
[-5.073782422128259e-13,6.118255289811425e-10,-3.4261021237016234e-07,8.221366077262477e-05,-0.0019440230733132962,18.459508841116957],
[-5.073782422128259e-13,6.118255289811425e-10,-3.4261021237016234e-07,8.221366077262477e-05,-0.0019440230733132962,22.30950884111696],
[-4.578789937907429e-13,5.357405871428241e-10,-3.138520637712646e-07,7.977306128982824e-05,-0.002160187153753319,26.63181587746239],
[-4.578789937907429e-13,5.357405871428241e-10,-3.138520637712646e-07,7.977306128982824e-05,-0.002160187153753319,30.48181587746239],
[1.1143544167301141e-13,-5.0144444309041644e-11,-1.0889392778261835e-07,5.3325860065248806e-05,-0.0016532234699804355,34.28855815733408],
[1.1143544167301141e-13,-5.0144444309041644e-11,-1.0889392778261835e-07,5.3325860065248806e-05,-0.0016532234699804355,38.13855815733408]</t>
  </si>
  <si>
    <t>4-3</t>
  </si>
  <si>
    <t>12:36</t>
  </si>
  <si>
    <t>施工结束后lane4恢复正常通行</t>
  </si>
  <si>
    <t>[4.3783460506331434e-13,-4.4869575768375335e-10,7.29880801461251e-08,1.5005839705563144e-05,0.0036967376447176476,10.471110338559125],
[4.3783460506331434e-13,-4.4869575768375335e-10,7.29880801461251e-08,1.5005839705563144e-05,0.0036967376447176476,14.321110338559125],
[2.215255001136938e-12,-2.4952343464433484e-09,9.299298912608276e-07,-0.00013978255705630923,0.014020963278014954,18.06449051319596],
[2.215255001136938e-12,-2.4952343464433484e-09,9.299298912608276e-07,-0.00013978255705630923,0.014020963278014954,21.91449051319596],
[1.8168398944294073e-13,-1.315134836092607e-10,-7.162152415489125e-08,4.3888958836821455e-05,0.0010305590335582093,26.388371135145782],
[1.8168398944294073e-13,-1.315134836092607e-10,-7.162152415489125e-08,4.3888958836821455e-05,0.0010305590335582093,30.238371135145783],
[2.4813646264830087e-13,-1.891554894462143e-10,-6.037191983751991e-08,4.676001007132924e-05,-0.00024261915325781984,34.12672710014711],
[2.4813646264830087e-13,-1.891554894462143e-10,-6.037191983751991e-08,4.676001007132924e-05,-0.00024261915325781984,37.97672710014711]</t>
  </si>
  <si>
    <t>4-4</t>
  </si>
  <si>
    <t>13:09</t>
  </si>
  <si>
    <t>[2.8384977980491827e-13,-2.8154487419269307e-10,5.905537526749798e-09,2.703781233061867e-05,0.0007149713568859678,10.351925935003225],
[2.8384977980491827e-13,-2.8154487419269307e-10,5.905537526749798e-09,2.703781233061867e-05,0.0007149713568859678,14.201925935003224],
[-9.213252563065116e-13,9.672759038687758e-10,-4.3976510531424367e-07,8.879482923565022e-05,-0.0017276109931589775,18.011758208382243],
[-9.213252563065116e-13,9.672759038687758e-10,-4.3976510531424367e-07,8.879482923565022e-05,-0.0017276109931589775,21.861758208382245],
[-1.1153482813193132e-14,1.0765382030369164e-10,-1.7491733794412604e-07,6.204791190307075e-05,-0.0017995548536865124,26.213885298825307],
[-1.1153482813193132e-14,1.0765382030369164e-10,-1.7491733794412604e-07,6.204791190307075e-05,-0.0017995548536865124,30.06388529882531],
[-8.08227151980495e-14,1.62983638100743e-10,-1.8976322092040896e-07,6.524075228702474e-05,-0.0025179835137343247,33.897358728181736],
[-8.08227151980495e-14,1.62983638100743e-10,-1.8976322092040896e-07,6.524075228702474e-05,-0.0025179835137343247,37.74735872818174]</t>
  </si>
  <si>
    <t>4-5</t>
  </si>
  <si>
    <t>17:56</t>
  </si>
  <si>
    <t>[-3.662335175587874e-13,4.057556423247245e-10,-2.515827251295785e-07,7.464775363338083e-05,-0.012708579881381068,12.406374520699062],
[-3.662335175587874e-13,4.057556423247245e-10,-2.515827251295785e-07,7.464775363338083e-05,-0.012708579881381068,16.25637452069906],
[-2.2403336394626777e-13,3.551708422637696e-10,-2.6565795633853176e-07,8.201288343104537e-05,-0.013232625759667913,19.95959658291422],
[-2.2403336394626777e-13,3.551708422637696e-10,-2.6565795633853176e-07,8.201288343104537e-05,-0.013232625759667913,23.80959658291422],
[2.3167669180504765e-13,-1.4722473199667758e-10,-9.454388404139244e-08,6.37479619002212e-05,-0.013023984224198938,28.100575625875084],
[2.3167669180504765e-13,-1.4722473199667758e-10,-9.454388404139244e-08,6.37479619002212e-05,-0.013023984224198938,31.950575625875086],
[-4.453838475745655e-13,4.958640659657742e-10,-3.0483436242494034e-07,9.264582929543136e-05,-0.01451484937267032,35.671905452690936],
[-4.453838475745655e-13,4.958640659657742e-10,-3.0483436242494034e-07,9.264582929543136e-05,-0.01451484937267032,39.52190545269094]</t>
  </si>
  <si>
    <t>期刊名</t>
  </si>
  <si>
    <t>分区</t>
  </si>
  <si>
    <t>IF</t>
  </si>
  <si>
    <t>审稿时间</t>
  </si>
  <si>
    <t>OA</t>
  </si>
  <si>
    <t>journal of traffic and transportation engineering(jtte)</t>
  </si>
  <si>
    <t>中科院2区 / JCR Q1</t>
  </si>
  <si>
    <t>6.8-9.3</t>
  </si>
  <si>
    <t>平均15周</t>
  </si>
  <si>
    <t>OA/无版面费</t>
  </si>
  <si>
    <t>Accident Analysis &amp; Prevention（AAP）</t>
  </si>
  <si>
    <t>中科院1区 / JCR Q1</t>
  </si>
  <si>
    <t>参考5个月</t>
  </si>
  <si>
    <t>非OA</t>
  </si>
  <si>
    <t>Journal of Intelligent Transportation Systems（JITS）</t>
  </si>
  <si>
    <t>中科院3区 / JCR Q2</t>
  </si>
  <si>
    <t>3-6个月</t>
  </si>
  <si>
    <t>Transportmetrica A: Transport Science</t>
  </si>
  <si>
    <t>3.1-3.6</t>
  </si>
  <si>
    <t>整体2-3月</t>
  </si>
  <si>
    <t>Transportation Research Record（TRR）</t>
  </si>
  <si>
    <t>中科院4区 / JCR Q3</t>
  </si>
  <si>
    <t>三个月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</si>
</sst>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49" fontId="0" fillId="0" borderId="0" xfId="0" applyNumberFormat="1" applyFont="1" applyFill="1" applyAlignment="1">
      <alignment horizontal="center"/>
    </xf>
    <xf numFmtId="0" fontId="0" fillId="0" borderId="0" xfId="0" applyFont="1" applyFill="1" applyAlignment="1"/>
    <xf numFmtId="49" fontId="0" fillId="0" borderId="0" xfId="0" applyNumberFormat="1" applyFont="1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9" defaultRowHeight="14.4"/>
  <cols>
    <col min="1" max="1" width="11.8888888888889" customWidth="1"/>
    <col min="2" max="3" width="9.66666666666667" customWidth="1"/>
    <col min="4" max="4" width="20.8888888888889" customWidth="1"/>
    <col min="5" max="5" width="9.66666666666667" customWidth="1"/>
    <col min="6" max="7" width="10.7777777777778" customWidth="1"/>
    <col min="8" max="8" width="42.2222222222222" customWidth="1"/>
    <col min="9" max="9" width="255.777777777778" customWidth="1"/>
  </cols>
  <sheetData>
    <row r="1" spans="1:9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2">
        <v>20230719</v>
      </c>
      <c r="C2" s="3" t="s">
        <v>10</v>
      </c>
      <c r="D2" s="2" t="s">
        <v>11</v>
      </c>
      <c r="E2" s="2">
        <f>27*15+3</f>
        <v>408</v>
      </c>
      <c r="F2" s="2">
        <v>20</v>
      </c>
      <c r="G2" s="2">
        <v>929</v>
      </c>
      <c r="H2" s="2"/>
      <c r="I2" s="2" t="s">
        <v>12</v>
      </c>
    </row>
    <row r="3" spans="1:9">
      <c r="A3" s="1" t="s">
        <v>13</v>
      </c>
      <c r="B3" s="2">
        <v>20230719</v>
      </c>
      <c r="C3" s="3" t="s">
        <v>14</v>
      </c>
      <c r="D3" s="2" t="s">
        <v>11</v>
      </c>
      <c r="E3" s="2">
        <v>408</v>
      </c>
      <c r="F3" s="2">
        <v>16</v>
      </c>
      <c r="G3" s="2">
        <v>732</v>
      </c>
      <c r="H3" s="2"/>
      <c r="I3" s="2" t="s">
        <v>15</v>
      </c>
    </row>
    <row r="4" spans="1:9">
      <c r="A4" s="1" t="s">
        <v>16</v>
      </c>
      <c r="B4" s="2">
        <v>20230719</v>
      </c>
      <c r="C4" s="3" t="s">
        <v>17</v>
      </c>
      <c r="D4" s="2" t="s">
        <v>11</v>
      </c>
      <c r="E4" s="2">
        <v>408</v>
      </c>
      <c r="F4" s="2">
        <v>20</v>
      </c>
      <c r="G4" s="2">
        <v>850</v>
      </c>
      <c r="H4" s="2" t="s">
        <v>18</v>
      </c>
      <c r="I4" s="2" t="s">
        <v>19</v>
      </c>
    </row>
    <row r="5" spans="1:9">
      <c r="A5" s="1" t="s">
        <v>20</v>
      </c>
      <c r="B5" s="2">
        <v>20230719</v>
      </c>
      <c r="C5" s="3" t="s">
        <v>21</v>
      </c>
      <c r="D5" s="2" t="s">
        <v>11</v>
      </c>
      <c r="E5" s="2">
        <v>408</v>
      </c>
      <c r="F5" s="2">
        <v>20</v>
      </c>
      <c r="G5" s="2">
        <v>842</v>
      </c>
      <c r="H5" s="2"/>
      <c r="I5" s="2" t="s">
        <v>22</v>
      </c>
    </row>
    <row r="6" spans="1:9">
      <c r="A6" s="1" t="s">
        <v>23</v>
      </c>
      <c r="B6" s="2">
        <v>20230731</v>
      </c>
      <c r="C6" s="3" t="s">
        <v>24</v>
      </c>
      <c r="D6" s="2" t="s">
        <v>11</v>
      </c>
      <c r="E6" s="2">
        <v>408</v>
      </c>
      <c r="F6" s="2">
        <v>22</v>
      </c>
      <c r="G6" s="2">
        <v>641</v>
      </c>
      <c r="H6" s="2" t="s">
        <v>25</v>
      </c>
      <c r="I6" s="2" t="s">
        <v>26</v>
      </c>
    </row>
    <row r="7" spans="1:9">
      <c r="A7" s="1" t="s">
        <v>27</v>
      </c>
      <c r="B7" s="2">
        <v>20230803</v>
      </c>
      <c r="C7" s="3" t="s">
        <v>28</v>
      </c>
      <c r="D7" s="2" t="s">
        <v>11</v>
      </c>
      <c r="E7" s="2">
        <v>414</v>
      </c>
      <c r="F7" s="2">
        <v>11</v>
      </c>
      <c r="G7" s="2">
        <v>341</v>
      </c>
      <c r="H7" s="2"/>
      <c r="I7" s="2" t="s">
        <v>29</v>
      </c>
    </row>
    <row r="8" spans="1:9">
      <c r="A8" s="1" t="s">
        <v>30</v>
      </c>
      <c r="B8" s="2">
        <v>20230724</v>
      </c>
      <c r="C8" s="3" t="s">
        <v>31</v>
      </c>
      <c r="D8" s="2" t="s">
        <v>32</v>
      </c>
      <c r="E8" s="2">
        <v>405</v>
      </c>
      <c r="F8" s="2">
        <v>16</v>
      </c>
      <c r="G8" s="2">
        <v>738</v>
      </c>
      <c r="H8" s="2" t="s">
        <v>33</v>
      </c>
      <c r="I8" s="2" t="s">
        <v>34</v>
      </c>
    </row>
    <row r="9" spans="1:9">
      <c r="A9" s="1" t="s">
        <v>35</v>
      </c>
      <c r="B9" s="2">
        <v>20230731</v>
      </c>
      <c r="C9" s="3" t="s">
        <v>36</v>
      </c>
      <c r="D9" s="2" t="s">
        <v>32</v>
      </c>
      <c r="E9" s="2">
        <v>411</v>
      </c>
      <c r="F9" s="2">
        <v>15</v>
      </c>
      <c r="G9" s="2">
        <v>603</v>
      </c>
      <c r="H9" s="2"/>
      <c r="I9" s="2" t="s">
        <v>37</v>
      </c>
    </row>
    <row r="10" spans="1:9">
      <c r="A10" s="1" t="s">
        <v>38</v>
      </c>
      <c r="B10" s="2">
        <v>20230731</v>
      </c>
      <c r="C10" s="3" t="s">
        <v>39</v>
      </c>
      <c r="D10" s="2" t="s">
        <v>32</v>
      </c>
      <c r="E10" s="2">
        <f>27*15+6+4</f>
        <v>415</v>
      </c>
      <c r="F10" s="2">
        <v>20</v>
      </c>
      <c r="G10" s="2">
        <v>999</v>
      </c>
      <c r="H10" s="2"/>
      <c r="I10" s="2" t="s">
        <v>40</v>
      </c>
    </row>
    <row r="11" spans="1:9">
      <c r="A11" s="1" t="s">
        <v>41</v>
      </c>
      <c r="B11" s="2">
        <v>20230731</v>
      </c>
      <c r="C11" s="3" t="s">
        <v>42</v>
      </c>
      <c r="D11" s="2" t="s">
        <v>32</v>
      </c>
      <c r="E11" s="2">
        <v>415</v>
      </c>
      <c r="F11" s="2">
        <v>20</v>
      </c>
      <c r="G11" s="2">
        <v>914</v>
      </c>
      <c r="H11" s="2"/>
      <c r="I11" s="2" t="s">
        <v>43</v>
      </c>
    </row>
    <row r="12" spans="1:9">
      <c r="A12" s="1" t="s">
        <v>44</v>
      </c>
      <c r="B12" s="2">
        <v>20230724</v>
      </c>
      <c r="C12" s="3" t="s">
        <v>45</v>
      </c>
      <c r="D12" s="2" t="s">
        <v>32</v>
      </c>
      <c r="E12" s="2">
        <v>420</v>
      </c>
      <c r="F12" s="2">
        <v>20</v>
      </c>
      <c r="G12" s="2">
        <v>773</v>
      </c>
      <c r="H12" s="2" t="s">
        <v>46</v>
      </c>
      <c r="I12" s="2" t="s">
        <v>47</v>
      </c>
    </row>
    <row r="13" spans="1:9">
      <c r="A13" s="1" t="s">
        <v>48</v>
      </c>
      <c r="B13" s="2">
        <v>20230724</v>
      </c>
      <c r="C13" s="3" t="s">
        <v>49</v>
      </c>
      <c r="D13" s="2" t="s">
        <v>32</v>
      </c>
      <c r="E13" s="2">
        <v>422</v>
      </c>
      <c r="F13" s="2">
        <v>10</v>
      </c>
      <c r="G13" s="2">
        <v>379</v>
      </c>
      <c r="H13" s="2" t="s">
        <v>50</v>
      </c>
      <c r="I13" s="2" t="s">
        <v>51</v>
      </c>
    </row>
    <row r="14" spans="1:9">
      <c r="A14" s="1" t="s">
        <v>52</v>
      </c>
      <c r="B14" s="2">
        <v>20230724</v>
      </c>
      <c r="C14" s="3" t="s">
        <v>53</v>
      </c>
      <c r="D14" s="2" t="s">
        <v>32</v>
      </c>
      <c r="E14" s="2">
        <v>422</v>
      </c>
      <c r="F14" s="2">
        <v>19</v>
      </c>
      <c r="G14" s="2">
        <v>672</v>
      </c>
      <c r="H14" s="2" t="s">
        <v>54</v>
      </c>
      <c r="I14" s="4" t="s">
        <v>55</v>
      </c>
    </row>
    <row r="15" spans="1:9">
      <c r="A15" s="1" t="s">
        <v>56</v>
      </c>
      <c r="B15" s="2">
        <v>20230724</v>
      </c>
      <c r="C15" s="3" t="s">
        <v>57</v>
      </c>
      <c r="D15" s="2" t="s">
        <v>32</v>
      </c>
      <c r="E15" s="2">
        <v>422</v>
      </c>
      <c r="F15" s="2">
        <v>10</v>
      </c>
      <c r="G15" s="2">
        <v>409</v>
      </c>
      <c r="H15" s="2"/>
      <c r="I15" s="4" t="s">
        <v>58</v>
      </c>
    </row>
    <row r="16" spans="1:9">
      <c r="A16" s="1" t="s">
        <v>59</v>
      </c>
      <c r="B16" s="2">
        <v>20230731</v>
      </c>
      <c r="C16" s="3" t="s">
        <v>60</v>
      </c>
      <c r="D16" s="2" t="s">
        <v>32</v>
      </c>
      <c r="E16" s="2">
        <v>424</v>
      </c>
      <c r="F16" s="2">
        <v>21</v>
      </c>
      <c r="G16" s="2">
        <v>735</v>
      </c>
      <c r="H16" s="2"/>
      <c r="I16" s="4" t="s">
        <v>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5" sqref="A5"/>
    </sheetView>
  </sheetViews>
  <sheetFormatPr defaultColWidth="9" defaultRowHeight="14.4" outlineLevelRow="5" outlineLevelCol="4"/>
  <cols>
    <col min="1" max="1" width="55.7777777777778" customWidth="1"/>
    <col min="2" max="2" width="18.6666666666667" customWidth="1"/>
    <col min="3" max="3" width="8.66666666666667" customWidth="1"/>
    <col min="4" max="4" width="9.66666666666667" customWidth="1"/>
    <col min="5" max="5" width="13" customWidth="1"/>
  </cols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67</v>
      </c>
      <c r="B2" t="s">
        <v>68</v>
      </c>
      <c r="C2" t="s">
        <v>69</v>
      </c>
      <c r="D2" t="s">
        <v>70</v>
      </c>
      <c r="E2" t="s">
        <v>71</v>
      </c>
    </row>
    <row r="3" spans="1:5">
      <c r="A3" t="s">
        <v>72</v>
      </c>
      <c r="B3" t="s">
        <v>73</v>
      </c>
      <c r="C3">
        <v>6.2</v>
      </c>
      <c r="D3" t="s">
        <v>74</v>
      </c>
      <c r="E3" t="s">
        <v>75</v>
      </c>
    </row>
    <row r="4" spans="1:5">
      <c r="A4" t="s">
        <v>76</v>
      </c>
      <c r="B4" t="s">
        <v>77</v>
      </c>
      <c r="C4">
        <v>2.8</v>
      </c>
      <c r="D4" t="s">
        <v>78</v>
      </c>
      <c r="E4" t="s">
        <v>75</v>
      </c>
    </row>
    <row r="5" spans="1:5">
      <c r="A5" t="s">
        <v>79</v>
      </c>
      <c r="B5" t="s">
        <v>77</v>
      </c>
      <c r="C5" t="s">
        <v>80</v>
      </c>
      <c r="D5" t="s">
        <v>81</v>
      </c>
      <c r="E5" t="s">
        <v>75</v>
      </c>
    </row>
    <row r="6" spans="1:5">
      <c r="A6" t="s">
        <v>82</v>
      </c>
      <c r="B6" t="s">
        <v>83</v>
      </c>
      <c r="C6">
        <v>1.8</v>
      </c>
      <c r="D6" t="s">
        <v>84</v>
      </c>
      <c r="E6" t="s">
        <v>75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樊王京</dc:creator>
  <cp:lastModifiedBy>A王京</cp:lastModifiedBy>
  <dcterms:created xsi:type="dcterms:W3CDTF">2023-05-12T11:15:00Z</dcterms:created>
  <dcterms:modified xsi:type="dcterms:W3CDTF">2026-06-22T02:32:20Z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CDDAE132A0CC45BEB32E5E19C584BA63_12</vt:lpwstr>
  </property>
  <property fmtid="{D5CDD505-2E9C-101B-9397-08002B2CF9AE}" pid="4" name="CalculationRule">
    <vt:i4>0</vt:i4>
  </property>
</Properties>
</file>